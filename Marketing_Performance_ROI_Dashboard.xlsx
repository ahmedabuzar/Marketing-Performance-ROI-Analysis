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rbaz\Downloads\"/>
    </mc:Choice>
  </mc:AlternateContent>
  <xr:revisionPtr revIDLastSave="0" documentId="8_{BF6C9C9B-50CE-4C88-BB82-789D9F81A279}" xr6:coauthVersionLast="47" xr6:coauthVersionMax="47" xr10:uidLastSave="{00000000-0000-0000-0000-000000000000}"/>
  <bookViews>
    <workbookView xWindow="-110" yWindow="-110" windowWidth="19420" windowHeight="10300" xr2:uid="{58108748-668F-45EB-AE32-708F4F663655}"/>
  </bookViews>
  <sheets>
    <sheet name="Final_Dashboard" sheetId="11" r:id="rId1"/>
    <sheet name="Pivot_Day4" sheetId="8" r:id="rId2"/>
    <sheet name="Analysis_Day6" sheetId="10" r:id="rId3"/>
    <sheet name="Analysis_Day2" sheetId="2" r:id="rId4"/>
    <sheet name="Raw_Data" sheetId="1" r:id="rId5"/>
    <sheet name="Campaign_Info" sheetId="3" r:id="rId6"/>
  </sheets>
  <definedNames>
    <definedName name="_xlnm._FilterDatabase" localSheetId="3" hidden="1">Analysis_Day2!$H$2:$J$5</definedName>
    <definedName name="_xlnm._FilterDatabase" localSheetId="4" hidden="1">Raw_Data!$B$2:$M$11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1" l="1"/>
  <c r="C3" i="11"/>
  <c r="C4" i="10"/>
  <c r="C6" i="11" s="1"/>
  <c r="N4" i="1"/>
  <c r="N5" i="1"/>
  <c r="N6" i="1"/>
  <c r="N7" i="1"/>
  <c r="N8" i="1"/>
  <c r="N9" i="1"/>
  <c r="N10" i="1"/>
  <c r="N3" i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3" i="1"/>
  <c r="M3" i="1" s="1"/>
  <c r="C8" i="2"/>
  <c r="K4" i="1"/>
  <c r="K5" i="1"/>
  <c r="K6" i="1"/>
  <c r="K7" i="1"/>
  <c r="K8" i="1"/>
  <c r="K9" i="1"/>
  <c r="K10" i="1"/>
  <c r="K3" i="1"/>
  <c r="J4" i="1"/>
  <c r="J5" i="1"/>
  <c r="J6" i="1"/>
  <c r="J7" i="1"/>
  <c r="J8" i="1"/>
  <c r="J9" i="1"/>
  <c r="J10" i="1"/>
  <c r="J3" i="1"/>
  <c r="I13" i="2" s="1"/>
  <c r="I5" i="2"/>
  <c r="C2" i="2"/>
  <c r="I3" i="2" s="1"/>
  <c r="C10" i="2"/>
  <c r="C6" i="2"/>
  <c r="J5" i="2" s="1"/>
  <c r="C9" i="2"/>
  <c r="C5" i="11" s="1"/>
  <c r="C7" i="2"/>
  <c r="C4" i="2"/>
  <c r="I4" i="2" s="1"/>
  <c r="C5" i="2"/>
  <c r="J4" i="2" s="1"/>
  <c r="C3" i="2"/>
  <c r="J3" i="2" s="1"/>
  <c r="I4" i="1"/>
  <c r="I5" i="1"/>
  <c r="I6" i="1"/>
  <c r="I7" i="1"/>
  <c r="I8" i="1"/>
  <c r="I9" i="1"/>
  <c r="I10" i="1"/>
  <c r="I3" i="1"/>
  <c r="C5" i="10" l="1"/>
  <c r="C6" i="10"/>
  <c r="I14" i="2"/>
  <c r="K4" i="2"/>
  <c r="K5" i="2"/>
  <c r="I11" i="2"/>
  <c r="I12" i="2"/>
  <c r="K3" i="2"/>
</calcChain>
</file>

<file path=xl/sharedStrings.xml><?xml version="1.0" encoding="utf-8"?>
<sst xmlns="http://schemas.openxmlformats.org/spreadsheetml/2006/main" count="98" uniqueCount="50">
  <si>
    <t>Date</t>
  </si>
  <si>
    <t>Channel</t>
  </si>
  <si>
    <t>Spend</t>
  </si>
  <si>
    <t>Leads</t>
  </si>
  <si>
    <t>Conversions</t>
  </si>
  <si>
    <t>Revenue</t>
  </si>
  <si>
    <t>Brand_Search</t>
  </si>
  <si>
    <t>Google</t>
  </si>
  <si>
    <t>Product_Search</t>
  </si>
  <si>
    <t>Retargeting_Ads</t>
  </si>
  <si>
    <t>Meta</t>
  </si>
  <si>
    <t>Email_Blast</t>
  </si>
  <si>
    <t>Email</t>
  </si>
  <si>
    <t>Campaign Name</t>
  </si>
  <si>
    <t>Cost per lead</t>
  </si>
  <si>
    <t>Google Spend</t>
  </si>
  <si>
    <t>Google Revenue</t>
  </si>
  <si>
    <t>Meta Revenue</t>
  </si>
  <si>
    <t>Meta Spent</t>
  </si>
  <si>
    <t>Email Campaign Count</t>
  </si>
  <si>
    <t>Total Profit</t>
  </si>
  <si>
    <t>email Revenue</t>
  </si>
  <si>
    <t>Revenue by channel</t>
  </si>
  <si>
    <t>Profit</t>
  </si>
  <si>
    <t>Objective</t>
  </si>
  <si>
    <t>Rahul</t>
  </si>
  <si>
    <t>Ankit</t>
  </si>
  <si>
    <t>Neha</t>
  </si>
  <si>
    <t>Priya</t>
  </si>
  <si>
    <t>Engagement</t>
  </si>
  <si>
    <t>Awareness</t>
  </si>
  <si>
    <t>Retention</t>
  </si>
  <si>
    <t>Campaign Manager</t>
  </si>
  <si>
    <t>Managers Revenue</t>
  </si>
  <si>
    <t>Name</t>
  </si>
  <si>
    <t>Row Labels</t>
  </si>
  <si>
    <t>Grand Total</t>
  </si>
  <si>
    <t>Sum of Revenue</t>
  </si>
  <si>
    <t>Sum of Spend</t>
  </si>
  <si>
    <t>Conversion Rate</t>
  </si>
  <si>
    <t>Performance</t>
  </si>
  <si>
    <t>CPC</t>
  </si>
  <si>
    <t>Metric</t>
  </si>
  <si>
    <t>Value</t>
  </si>
  <si>
    <t>Good Performance</t>
  </si>
  <si>
    <t>Total Campaigns</t>
  </si>
  <si>
    <t>Cost per Converversion (CPC)</t>
  </si>
  <si>
    <t>Total Spend</t>
  </si>
  <si>
    <t>Total Revenue</t>
  </si>
  <si>
    <t>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</si>
</sst>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.00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/>
    </xf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1" fillId="0" borderId="1" xfId="0" applyFont="1" applyBorder="1"/>
    <xf numFmtId="0" fontId="1" fillId="0" borderId="4" xfId="0" applyFont="1" applyBorder="1"/>
    <xf numFmtId="0" fontId="1" fillId="0" borderId="3" xfId="0" applyFont="1" applyBorder="1"/>
    <xf numFmtId="164" fontId="3" fillId="0" borderId="0" xfId="0" applyNumberFormat="1" applyFont="1"/>
    <xf numFmtId="0" fontId="3" fillId="0" borderId="0" xfId="0" applyFont="1"/>
    <xf numFmtId="0" fontId="0" fillId="0" borderId="13" xfId="0" pivotButton="1" applyBorder="1"/>
    <xf numFmtId="0" fontId="0" fillId="0" borderId="9" xfId="0" applyBorder="1"/>
    <xf numFmtId="0" fontId="0" fillId="0" borderId="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44" fontId="0" fillId="0" borderId="6" xfId="1" applyFont="1" applyBorder="1" applyAlignment="1">
      <alignment horizontal="center"/>
    </xf>
    <xf numFmtId="44" fontId="0" fillId="0" borderId="8" xfId="1" applyFont="1" applyBorder="1" applyAlignment="1">
      <alignment horizontal="center"/>
    </xf>
    <xf numFmtId="164" fontId="0" fillId="0" borderId="1" xfId="0" applyNumberFormat="1" applyBorder="1"/>
    <xf numFmtId="164" fontId="0" fillId="0" borderId="4" xfId="0" applyNumberFormat="1" applyBorder="1"/>
    <xf numFmtId="14" fontId="0" fillId="0" borderId="11" xfId="0" applyNumberFormat="1" applyBorder="1"/>
    <xf numFmtId="14" fontId="0" fillId="0" borderId="12" xfId="0" applyNumberFormat="1" applyBorder="1"/>
    <xf numFmtId="49" fontId="0" fillId="0" borderId="11" xfId="0" applyNumberFormat="1" applyBorder="1"/>
    <xf numFmtId="49" fontId="0" fillId="0" borderId="12" xfId="0" applyNumberFormat="1" applyBorder="1"/>
    <xf numFmtId="166" fontId="0" fillId="0" borderId="11" xfId="0" applyNumberFormat="1" applyBorder="1"/>
    <xf numFmtId="166" fontId="0" fillId="0" borderId="12" xfId="0" applyNumberFormat="1" applyBorder="1"/>
    <xf numFmtId="0" fontId="1" fillId="0" borderId="5" xfId="0" applyFont="1" applyBorder="1"/>
    <xf numFmtId="164" fontId="1" fillId="0" borderId="8" xfId="0" applyNumberFormat="1" applyFont="1" applyBorder="1"/>
    <xf numFmtId="0" fontId="1" fillId="0" borderId="11" xfId="0" applyFont="1" applyBorder="1"/>
    <xf numFmtId="0" fontId="1" fillId="0" borderId="12" xfId="0" applyFont="1" applyBorder="1"/>
  </cellXfs>
  <cellStyles count="2">
    <cellStyle name="Currency" xfId="1" builtinId="4"/>
    <cellStyle name="Normal" xfId="0" builtinId="0"/>
  </cellStyles>
  <dxfs count="37">
    <dxf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&quot;₹&quot;\ 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/>
        <right style="medium">
          <color indexed="64"/>
        </right>
        <top/>
        <bottom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[Marketing_Performance_ROI_Dashboard.xlsx]Pivot_Day4!PivotTable5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Campaign Manager</a:t>
            </a:r>
          </a:p>
        </c:rich>
      </c:tx>
      <c:layout>
        <c:manualLayout>
          <c:xMode val="edge"/>
          <c:yMode val="edge"/>
          <c:x val="0.3285067804024496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Pivot_Day4!$K$13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Pivot_Day4!$J$14:$J$18</c:f>
              <c:strCache>
                <c:ptCount val="4"/>
                <c:pt idx="0">
                  <c:v>Rahul</c:v>
                </c:pt>
                <c:pt idx="1">
                  <c:v>Neha</c:v>
                </c:pt>
                <c:pt idx="2">
                  <c:v>Ankit</c:v>
                </c:pt>
                <c:pt idx="3">
                  <c:v>Priya</c:v>
                </c:pt>
              </c:strCache>
            </c:strRef>
          </c:cat>
          <c:val>
            <c:numRef>
              <c:f>Pivot_Day4!$K$14:$K$18</c:f>
              <c:numCache>
                <c:formatCode>General</c:formatCode>
                <c:ptCount val="4"/>
                <c:pt idx="0">
                  <c:v>42000</c:v>
                </c:pt>
                <c:pt idx="1">
                  <c:v>35000</c:v>
                </c:pt>
                <c:pt idx="2">
                  <c:v>31000</c:v>
                </c:pt>
                <c:pt idx="3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3-4A18-B8DA-3FE2E1B7E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881968"/>
        <c:axId val="213886288"/>
      </c:barChart>
      <c:catAx>
        <c:axId val="21388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6288"/>
        <c:crosses val="autoZero"/>
        <c:auto val="1"/>
        <c:lblAlgn val="ctr"/>
        <c:lblOffset val="100"/>
        <c:noMultiLvlLbl val="0"/>
      </c:catAx>
      <c:valAx>
        <c:axId val="213886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[Marketing_Performance_ROI_Dashboard.xlsx]Pivot_Day4!PivotTable4</c:name>
    <c:fmtId val="7"/>
  </c:pivotSource>
  <c:chart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Pivot_Day4!$J$2</c:f>
              <c:strCache>
                <c:ptCount val="1"/>
                <c:pt idx="0">
                  <c:v>Sum of Spend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Pivot_Day4!$I$3:$I$6</c:f>
              <c:strCache>
                <c:ptCount val="3"/>
                <c:pt idx="0">
                  <c:v>Email</c:v>
                </c:pt>
                <c:pt idx="1">
                  <c:v>Google</c:v>
                </c:pt>
                <c:pt idx="2">
                  <c:v>Meta</c:v>
                </c:pt>
              </c:strCache>
            </c:strRef>
          </c:cat>
          <c:val>
            <c:numRef>
              <c:f>Pivot_Day4!$J$3:$J$6</c:f>
              <c:numCache>
                <c:formatCode>General</c:formatCode>
                <c:ptCount val="3"/>
                <c:pt idx="0">
                  <c:v>2200</c:v>
                </c:pt>
                <c:pt idx="1">
                  <c:v>18300</c:v>
                </c:pt>
                <c:pt idx="2">
                  <c:v>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2-4163-8DE3-C4B89DDD8C09}"/>
            </c:ext>
          </c:extLst>
        </c:ser>
        <c:ser>
          <c:idx val="1"/>
          <c:order val="1"/>
          <c:tx>
            <c:strRef>
              <c:f>Pivot_Day4!$K$2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Pivot_Day4!$I$3:$I$6</c:f>
              <c:strCache>
                <c:ptCount val="3"/>
                <c:pt idx="0">
                  <c:v>Email</c:v>
                </c:pt>
                <c:pt idx="1">
                  <c:v>Google</c:v>
                </c:pt>
                <c:pt idx="2">
                  <c:v>Meta</c:v>
                </c:pt>
              </c:strCache>
            </c:strRef>
          </c:cat>
          <c:val>
            <c:numRef>
              <c:f>Pivot_Day4!$K$3:$K$6</c:f>
              <c:numCache>
                <c:formatCode>General</c:formatCode>
                <c:ptCount val="3"/>
                <c:pt idx="0">
                  <c:v>19000</c:v>
                </c:pt>
                <c:pt idx="1">
                  <c:v>73000</c:v>
                </c:pt>
                <c:pt idx="2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32-4163-8DE3-C4B89DDD8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00208"/>
        <c:axId val="213881008"/>
      </c:barChart>
      <c:catAx>
        <c:axId val="21390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1008"/>
        <c:crosses val="autoZero"/>
        <c:auto val="1"/>
        <c:lblAlgn val="ctr"/>
        <c:lblOffset val="100"/>
        <c:noMultiLvlLbl val="0"/>
      </c:catAx>
      <c:valAx>
        <c:axId val="2138810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[Marketing_Performance_ROI_Dashboard.xlsx]Pivot_Day4!PivotTable3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Channel (₹)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Pivot_Day4!$C$3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Pivot_Day4!$B$4:$B$7</c:f>
              <c:strCache>
                <c:ptCount val="3"/>
                <c:pt idx="0">
                  <c:v>Email</c:v>
                </c:pt>
                <c:pt idx="1">
                  <c:v>Meta</c:v>
                </c:pt>
                <c:pt idx="2">
                  <c:v>Google</c:v>
                </c:pt>
              </c:strCache>
            </c:strRef>
          </c:cat>
          <c:val>
            <c:numRef>
              <c:f>Pivot_Day4!$C$4:$C$7</c:f>
              <c:numCache>
                <c:formatCode>General</c:formatCode>
                <c:ptCount val="3"/>
                <c:pt idx="0">
                  <c:v>19000</c:v>
                </c:pt>
                <c:pt idx="1">
                  <c:v>35000</c:v>
                </c:pt>
                <c:pt idx="2">
                  <c:v>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C-4D9B-A19D-A886BB1EB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30448"/>
        <c:axId val="213929488"/>
      </c:barChart>
      <c:catAx>
        <c:axId val="21393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9488"/>
        <c:crosses val="autoZero"/>
        <c:auto val="1"/>
        <c:lblAlgn val="ctr"/>
        <c:lblOffset val="100"/>
        <c:noMultiLvlLbl val="0"/>
      </c:catAx>
      <c:valAx>
        <c:axId val="213929488"/>
        <c:scaling>
          <c:orientation val="minMax"/>
        </c:scaling>
        <c:delete val="0"/>
        <c:axPos val="l"/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3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[Marketing_Performance_ROI_Dashboard.xlsx]Pivot_Day4!PivotTable3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Channel (₹)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Pivot_Day4!$C$3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Pivot_Day4!$B$4:$B$7</c:f>
              <c:strCache>
                <c:ptCount val="3"/>
                <c:pt idx="0">
                  <c:v>Email</c:v>
                </c:pt>
                <c:pt idx="1">
                  <c:v>Meta</c:v>
                </c:pt>
                <c:pt idx="2">
                  <c:v>Google</c:v>
                </c:pt>
              </c:strCache>
            </c:strRef>
          </c:cat>
          <c:val>
            <c:numRef>
              <c:f>Pivot_Day4!$C$4:$C$7</c:f>
              <c:numCache>
                <c:formatCode>General</c:formatCode>
                <c:ptCount val="3"/>
                <c:pt idx="0">
                  <c:v>19000</c:v>
                </c:pt>
                <c:pt idx="1">
                  <c:v>35000</c:v>
                </c:pt>
                <c:pt idx="2">
                  <c:v>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8-4CFF-912F-1D8BFE1EE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30448"/>
        <c:axId val="213929488"/>
      </c:barChart>
      <c:catAx>
        <c:axId val="21393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9488"/>
        <c:crosses val="autoZero"/>
        <c:auto val="1"/>
        <c:lblAlgn val="ctr"/>
        <c:lblOffset val="100"/>
        <c:noMultiLvlLbl val="0"/>
      </c:catAx>
      <c:valAx>
        <c:axId val="213929488"/>
        <c:scaling>
          <c:orientation val="minMax"/>
        </c:scaling>
        <c:delete val="0"/>
        <c:axPos val="l"/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3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[Marketing_Performance_ROI_Dashboard.xlsx]Pivot_Day4!PivotTable4</c:name>
    <c:fmtId val="0"/>
  </c:pivotSource>
  <c:chart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Pivot_Day4!$J$2</c:f>
              <c:strCache>
                <c:ptCount val="1"/>
                <c:pt idx="0">
                  <c:v>Sum of Spend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Pivot_Day4!$I$3:$I$6</c:f>
              <c:strCache>
                <c:ptCount val="3"/>
                <c:pt idx="0">
                  <c:v>Email</c:v>
                </c:pt>
                <c:pt idx="1">
                  <c:v>Google</c:v>
                </c:pt>
                <c:pt idx="2">
                  <c:v>Meta</c:v>
                </c:pt>
              </c:strCache>
            </c:strRef>
          </c:cat>
          <c:val>
            <c:numRef>
              <c:f>Pivot_Day4!$J$3:$J$6</c:f>
              <c:numCache>
                <c:formatCode>General</c:formatCode>
                <c:ptCount val="3"/>
                <c:pt idx="0">
                  <c:v>2200</c:v>
                </c:pt>
                <c:pt idx="1">
                  <c:v>18300</c:v>
                </c:pt>
                <c:pt idx="2">
                  <c:v>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4-402A-81F9-06A1B77E3205}"/>
            </c:ext>
          </c:extLst>
        </c:ser>
        <c:ser>
          <c:idx val="1"/>
          <c:order val="1"/>
          <c:tx>
            <c:strRef>
              <c:f>Pivot_Day4!$K$2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Pivot_Day4!$I$3:$I$6</c:f>
              <c:strCache>
                <c:ptCount val="3"/>
                <c:pt idx="0">
                  <c:v>Email</c:v>
                </c:pt>
                <c:pt idx="1">
                  <c:v>Google</c:v>
                </c:pt>
                <c:pt idx="2">
                  <c:v>Meta</c:v>
                </c:pt>
              </c:strCache>
            </c:strRef>
          </c:cat>
          <c:val>
            <c:numRef>
              <c:f>Pivot_Day4!$K$3:$K$6</c:f>
              <c:numCache>
                <c:formatCode>General</c:formatCode>
                <c:ptCount val="3"/>
                <c:pt idx="0">
                  <c:v>19000</c:v>
                </c:pt>
                <c:pt idx="1">
                  <c:v>73000</c:v>
                </c:pt>
                <c:pt idx="2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E4-402A-81F9-06A1B77E3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00208"/>
        <c:axId val="213881008"/>
      </c:barChart>
      <c:catAx>
        <c:axId val="21390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1008"/>
        <c:crosses val="autoZero"/>
        <c:auto val="1"/>
        <c:lblAlgn val="ctr"/>
        <c:lblOffset val="100"/>
        <c:noMultiLvlLbl val="0"/>
      </c:catAx>
      <c:valAx>
        <c:axId val="2138810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0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[Marketing_Performance_ROI_Dashboard.xlsx]Pivot_Day4!PivotTable5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Campaign Manager</a:t>
            </a:r>
          </a:p>
        </c:rich>
      </c:tx>
      <c:layout>
        <c:manualLayout>
          <c:xMode val="edge"/>
          <c:yMode val="edge"/>
          <c:x val="0.32850678040244968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Pivot_Day4!$K$13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Pivot_Day4!$J$14:$J$18</c:f>
              <c:strCache>
                <c:ptCount val="4"/>
                <c:pt idx="0">
                  <c:v>Rahul</c:v>
                </c:pt>
                <c:pt idx="1">
                  <c:v>Neha</c:v>
                </c:pt>
                <c:pt idx="2">
                  <c:v>Ankit</c:v>
                </c:pt>
                <c:pt idx="3">
                  <c:v>Priya</c:v>
                </c:pt>
              </c:strCache>
            </c:strRef>
          </c:cat>
          <c:val>
            <c:numRef>
              <c:f>Pivot_Day4!$K$14:$K$18</c:f>
              <c:numCache>
                <c:formatCode>General</c:formatCode>
                <c:ptCount val="4"/>
                <c:pt idx="0">
                  <c:v>42000</c:v>
                </c:pt>
                <c:pt idx="1">
                  <c:v>35000</c:v>
                </c:pt>
                <c:pt idx="2">
                  <c:v>31000</c:v>
                </c:pt>
                <c:pt idx="3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A-4F49-8B21-FFB902642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881968"/>
        <c:axId val="213886288"/>
      </c:barChart>
      <c:catAx>
        <c:axId val="21388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6288"/>
        <c:crosses val="autoZero"/>
        <c:auto val="1"/>
        <c:lblAlgn val="ctr"/>
        <c:lblOffset val="100"/>
        <c:noMultiLvlLbl val="0"/>
      </c:catAx>
      <c:valAx>
        <c:axId val="213886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16329</xdr:colOff>
      <xdr:row>19</xdr:row>
      <xdr:rowOff>104321</xdr:rowOff>
    </xdr:from>
    <xdr:to>
      <xdr:col>7</xdr:col>
      <xdr:colOff>95250</xdr:colOff>
      <xdr:row>33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E83AF-A923-4BAD-B26B-B1BB6D465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96762</xdr:colOff>
      <xdr:row>0</xdr:row>
      <xdr:rowOff>0</xdr:rowOff>
    </xdr:from>
    <xdr:to>
      <xdr:col>17</xdr:col>
      <xdr:colOff>196547</xdr:colOff>
      <xdr:row>33</xdr:row>
      <xdr:rowOff>25703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E7C858-CAEC-4EBD-AB03-FB2F61B5C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</xdr:colOff>
      <xdr:row>6</xdr:row>
      <xdr:rowOff>25400</xdr:rowOff>
    </xdr:from>
    <xdr:to>
      <xdr:col>7</xdr:col>
      <xdr:colOff>84667</xdr:colOff>
      <xdr:row>19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F4CC5D-E000-43B5-9CE7-362478E6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202595</xdr:colOff>
      <xdr:row>0</xdr:row>
      <xdr:rowOff>0</xdr:rowOff>
    </xdr:from>
    <xdr:to>
      <xdr:col>30</xdr:col>
      <xdr:colOff>474737</xdr:colOff>
      <xdr:row>20</xdr:row>
      <xdr:rowOff>9072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957320-7742-B292-FE74-329149B3E82D}"/>
            </a:ext>
          </a:extLst>
        </xdr:cNvPr>
        <xdr:cNvSpPr txBox="1"/>
      </xdr:nvSpPr>
      <xdr:spPr>
        <a:xfrm>
          <a:off x="11484428" y="0"/>
          <a:ext cx="8251976" cy="3829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 i="1" u="sng">
              <a:solidFill>
                <a:srgbClr val="FF0000"/>
              </a:solidFill>
            </a:rPr>
            <a:t>Key Insights &amp; Recommendations</a:t>
          </a:r>
        </a:p>
        <a:p>
          <a:endParaRPr lang="en-IN" sz="1200"/>
        </a:p>
        <a:p>
          <a:r>
            <a:rPr lang="en-IN" sz="1400"/>
            <a:t>• Google is the strongest channel, generating the highest revenue and profit, indicating high user intent and scalable performance.</a:t>
          </a:r>
        </a:p>
        <a:p>
          <a:endParaRPr lang="en-IN" sz="1400"/>
        </a:p>
        <a:p>
          <a:r>
            <a:rPr lang="en-IN" sz="1400"/>
            <a:t>• Meta delivers strong conversion volume but lower profitability, suggesting scope for optimization rather than aggressive scaling.</a:t>
          </a:r>
        </a:p>
        <a:p>
          <a:endParaRPr lang="en-IN" sz="1400"/>
        </a:p>
        <a:p>
          <a:r>
            <a:rPr lang="en-IN" sz="1400"/>
            <a:t>• Email is the most cost-efficient channel but limited in scale, making it suitable as a support channel rather than a growth driver.</a:t>
          </a:r>
        </a:p>
        <a:p>
          <a:endParaRPr lang="en-IN" sz="1400"/>
        </a:p>
        <a:p>
          <a:r>
            <a:rPr lang="en-IN" sz="1400"/>
            <a:t>• Rahul manages the highest revenue-generating campaigns, primarily driven by Brand Search performance.</a:t>
          </a:r>
          <a:br>
            <a:rPr lang="en-IN" sz="1400"/>
          </a:br>
          <a:br>
            <a:rPr lang="en-IN" sz="1400"/>
          </a:br>
          <a:r>
            <a:rPr lang="en-IN" sz="1400" b="1"/>
            <a:t>Recommendation:</a:t>
          </a:r>
        </a:p>
        <a:p>
          <a:r>
            <a:rPr lang="en-IN" sz="1400"/>
            <a:t>Prioritize Google for revenue growth, optimize Meta for efficiency, and maintain Email as a low-cost support channel.</a:t>
          </a:r>
        </a:p>
        <a:p>
          <a:endParaRPr lang="en-IN" sz="1100"/>
        </a:p>
        <a:p>
          <a:endParaRPr lang="en-IN" sz="3200"/>
        </a:p>
        <a:p>
          <a:endParaRPr lang="en-IN" sz="3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166915</xdr:rowOff>
    </xdr:from>
    <xdr:to>
      <xdr:col>7</xdr:col>
      <xdr:colOff>467179</xdr:colOff>
      <xdr:row>16</xdr:row>
      <xdr:rowOff>159658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C28FFB-3C9B-50F9-5FB4-203E89B42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19957</xdr:colOff>
      <xdr:row>0</xdr:row>
      <xdr:rowOff>174171</xdr:rowOff>
    </xdr:from>
    <xdr:to>
      <xdr:col>18</xdr:col>
      <xdr:colOff>338364</xdr:colOff>
      <xdr:row>15</xdr:row>
      <xdr:rowOff>118835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9A04D4-DF1E-5A73-E1D5-A3559F881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884875</xdr:colOff>
      <xdr:row>19</xdr:row>
      <xdr:rowOff>116525</xdr:rowOff>
    </xdr:from>
    <xdr:to>
      <xdr:col>15</xdr:col>
      <xdr:colOff>253174</xdr:colOff>
      <xdr:row>34</xdr:row>
      <xdr:rowOff>149841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2498C6-2B83-8A84-1B30-CAD897FEA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rbaz" refreshedDate="46056.541472569443" createdVersion="8" refreshedVersion="8" minRefreshableVersion="3" recordCount="9" xr:uid="{AECAA6A8-F31B-4D14-8181-6CFE017DDBA2}">
  <cacheSource type="worksheet">
    <worksheetSource ref="B2:K11" sheet="Raw_Data"/>
  </cacheSource>
  <cacheFields count="10">
    <cacheField name="Date" numFmtId="0">
      <sharedItems containsNonDate="0" containsDate="1" containsString="0" containsBlank="1" minDate="2025-01-01T00:00:00" maxDate="2025-01-04T00:00:00"/>
    </cacheField>
    <cacheField name="Campaign Name" numFmtId="0">
      <sharedItems containsBlank="1"/>
    </cacheField>
    <cacheField name="Channel" numFmtId="0">
      <sharedItems containsBlank="1" count="4">
        <s v="Google"/>
        <s v="Meta"/>
        <s v="Email"/>
        <m/>
      </sharedItems>
    </cacheField>
    <cacheField name="Spend" numFmtId="0">
      <sharedItems containsString="0" containsBlank="1" containsNumber="1" containsInteger="1" minValue="1000" maxValue="5200"/>
    </cacheField>
    <cacheField name="Leads" numFmtId="0">
      <sharedItems containsString="0" containsBlank="1" containsNumber="1" containsInteger="1" minValue="60" maxValue="130"/>
    </cacheField>
    <cacheField name="Conversions" numFmtId="0">
      <sharedItems containsSemiMixedTypes="0" containsString="0" containsNumber="1" containsInteger="1" minValue="10" maxValue="124"/>
    </cacheField>
    <cacheField name="Revenue" numFmtId="0">
      <sharedItems containsString="0" containsBlank="1" containsNumber="1" containsInteger="1" minValue="9000" maxValue="22000"/>
    </cacheField>
    <cacheField name="Cost per lead" numFmtId="0">
      <sharedItems containsString="0" containsBlank="1" containsNumber="1" minValue="16.666666666666668" maxValue="44.444444444444443"/>
    </cacheField>
    <cacheField name="Campaign Manager" numFmtId="0">
      <sharedItems containsBlank="1" count="5">
        <s v="Rahul"/>
        <s v="Ankit"/>
        <s v="Neha"/>
        <s v="Priya"/>
        <m/>
      </sharedItems>
    </cacheField>
    <cacheField name="Objective" numFmtId="0">
      <sharedItems containsBlank="1" count="5">
        <s v="Awareness"/>
        <s v="Conversions"/>
        <s v="Retention"/>
        <s v="Engagemen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d v="2025-01-01T00:00:00"/>
    <s v="Brand_Search"/>
    <x v="0"/>
    <n v="5000"/>
    <n v="120"/>
    <n v="20"/>
    <n v="20000"/>
    <n v="41.666666666666664"/>
    <x v="0"/>
    <x v="0"/>
  </r>
  <r>
    <d v="2025-01-01T00:00:00"/>
    <s v="Product_Search"/>
    <x v="0"/>
    <n v="4000"/>
    <n v="90"/>
    <n v="12"/>
    <n v="15000"/>
    <n v="44.444444444444443"/>
    <x v="1"/>
    <x v="1"/>
  </r>
  <r>
    <d v="2025-01-01T00:00:00"/>
    <s v="Retargeting_Ads"/>
    <x v="1"/>
    <n v="3000"/>
    <n v="110"/>
    <n v="18"/>
    <n v="18000"/>
    <n v="27.272727272727273"/>
    <x v="2"/>
    <x v="2"/>
  </r>
  <r>
    <d v="2025-01-02T00:00:00"/>
    <s v="Brand_Search"/>
    <x v="0"/>
    <n v="5200"/>
    <n v="130"/>
    <n v="22"/>
    <n v="22000"/>
    <n v="40"/>
    <x v="0"/>
    <x v="0"/>
  </r>
  <r>
    <d v="2025-01-02T00:00:00"/>
    <s v="Email_Blast"/>
    <x v="2"/>
    <n v="1000"/>
    <n v="60"/>
    <n v="10"/>
    <n v="9000"/>
    <n v="16.666666666666668"/>
    <x v="3"/>
    <x v="3"/>
  </r>
  <r>
    <d v="2025-01-02T00:00:00"/>
    <s v="Retargeting_Ads"/>
    <x v="1"/>
    <n v="3200"/>
    <n v="115"/>
    <n v="17"/>
    <n v="17000"/>
    <n v="27.826086956521738"/>
    <x v="2"/>
    <x v="2"/>
  </r>
  <r>
    <d v="2025-01-03T00:00:00"/>
    <s v="Product_Search"/>
    <x v="0"/>
    <n v="4100"/>
    <n v="95"/>
    <n v="14"/>
    <n v="16000"/>
    <n v="43.157894736842103"/>
    <x v="1"/>
    <x v="1"/>
  </r>
  <r>
    <d v="2025-01-03T00:00:00"/>
    <s v="Email_Blast"/>
    <x v="2"/>
    <n v="1200"/>
    <n v="65"/>
    <n v="11"/>
    <n v="10000"/>
    <n v="18.46153846153846"/>
    <x v="3"/>
    <x v="3"/>
  </r>
  <r>
    <m/>
    <m/>
    <x v="3"/>
    <m/>
    <m/>
    <n v="124"/>
    <m/>
    <m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926A5-A5A4-423D-B9C4-EB51F1EEF84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13:K18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1"/>
        <item x="2"/>
        <item x="3"/>
        <item x="0"/>
        <item h="1" x="4"/>
        <item t="default"/>
      </items>
    </pivotField>
    <pivotField showAll="0"/>
  </pivotFields>
  <rowFields count="1">
    <field x="8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Revenue" fld="6" baseField="0" baseItem="0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8" type="button" dataOnly="0" labelOnly="1" outline="0" axis="axisRow" fieldPosition="0"/>
    </format>
    <format dxfId="16">
      <pivotArea dataOnly="0" labelOnly="1" fieldPosition="0">
        <references count="1">
          <reference field="8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B7084-828E-42B3-AC45-E4C50E7BA5F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I2:K6" firstHeaderRow="0" firstDataRow="1" firstDataCol="1"/>
  <pivotFields count="10"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end" fld="3" baseField="0" baseItem="0"/>
    <dataField name="Sum of Revenue" fld="6" baseField="0" baseItem="0"/>
  </dataFields>
  <formats count="9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2" type="button" dataOnly="0" labelOnly="1" outline="0" axis="axisRow" fieldPosition="0"/>
    </format>
    <format dxfId="25">
      <pivotArea dataOnly="0" labelOnly="1" fieldPosition="0">
        <references count="1">
          <reference field="2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dataOnly="0" labelOnly="1" fieldPosition="0">
        <references count="1">
          <reference field="2" count="0"/>
        </references>
      </pivotArea>
    </format>
    <format dxfId="21">
      <pivotArea dataOnly="0" labelOnly="1" grandRow="1" outline="0" fieldPosition="0"/>
    </format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0C93F-D908-4BED-9D08-4DE5399F5A9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3:C7" firstHeaderRow="1" firstDataRow="1" firstDataCol="1"/>
  <pivotFields count="10">
    <pivotField showAll="0"/>
    <pivotField showAll="0"/>
    <pivotField axis="axisRow" showAll="0" sortType="a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 sortType="descending">
      <items count="6">
        <item x="4"/>
        <item x="0"/>
        <item x="3"/>
        <item x="2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</pivotFields>
  <rowFields count="1">
    <field x="2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Revenue" fld="6" baseField="0" baseItem="0"/>
  </dataFields>
  <formats count="8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2" type="button" dataOnly="0" labelOnly="1" outline="0" axis="axisRow" fieldPosition="0"/>
    </format>
    <format dxfId="33">
      <pivotArea dataOnly="0" labelOnly="1" fieldPosition="0">
        <references count="1">
          <reference field="2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dataOnly="0" labelOnly="1" grandRow="1" outline="0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AF87D4-7609-4F07-BC57-DD949C300A39}" name="Table4" displayName="Table4" ref="B2:C6" totalsRowShown="0" headerRowDxfId="10" dataDxfId="8" headerRowBorderDxfId="9" tableBorderDxfId="7">
  <autoFilter ref="B2:C6" xr:uid="{8AAF87D4-7609-4F07-BC57-DD949C300A39}"/>
  <tableColumns count="2">
    <tableColumn id="1" xr3:uid="{E63F6829-E62D-4140-8B89-2AF4D7396495}" name="Metric" dataDxfId="6"/>
    <tableColumn id="2" xr3:uid="{68288117-1A85-47F3-BE62-0BE56DC19811}" name="Value" dataDxfId="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FDA1A2-B69D-46D2-941A-B0CDB1F93B02}" name="Table3" displayName="Table3" ref="B3:C6" totalsRowShown="0" headerRowBorderDxfId="13" tableBorderDxfId="12">
  <autoFilter ref="B3:C6" xr:uid="{7FFDA1A2-B69D-46D2-941A-B0CDB1F93B02}"/>
  <tableColumns count="2">
    <tableColumn id="1" xr3:uid="{310B8200-ABDD-43DF-94E7-159CC7CA9825}" name="Metric" dataDxfId="11"/>
    <tableColumn id="2" xr3:uid="{E6F56754-D078-45B3-BE41-5CC011D264B4}" name="Valu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4DE7-681E-400A-B19A-C4BD1BA9C85E}">
  <dimension ref="B2:C6"/>
  <sheetViews>
    <sheetView showGridLines="0" tabSelected="1" zoomScale="60" zoomScaleNormal="60" workbookViewId="0">
      <selection activeCell="W25" sqref="W25"/>
    </sheetView>
  </sheetViews>
  <sheetFormatPr defaultRowHeight="14.5" x14ac:dyDescent="0.35"/>
  <cols>
    <col min="2" max="2" width="14.6328125" bestFit="1" customWidth="1"/>
    <col min="3" max="3" width="15" bestFit="1" customWidth="1"/>
  </cols>
  <sheetData>
    <row r="2" spans="2:3" ht="15" thickBot="1" x14ac:dyDescent="0.4">
      <c r="B2" s="14" t="s">
        <v>42</v>
      </c>
      <c r="C2" s="15" t="s">
        <v>43</v>
      </c>
    </row>
    <row r="3" spans="2:3" ht="18.5" x14ac:dyDescent="0.45">
      <c r="B3" s="1" t="s">
        <v>47</v>
      </c>
      <c r="C3" s="16">
        <f>SUM(Raw_Data!E3:E10)</f>
        <v>26700</v>
      </c>
    </row>
    <row r="4" spans="2:3" ht="18.5" x14ac:dyDescent="0.45">
      <c r="B4" s="1" t="s">
        <v>48</v>
      </c>
      <c r="C4" s="16">
        <f>SUM(Raw_Data!H:H)</f>
        <v>127000</v>
      </c>
    </row>
    <row r="5" spans="2:3" ht="18.5" x14ac:dyDescent="0.45">
      <c r="B5" s="1" t="s">
        <v>20</v>
      </c>
      <c r="C5" s="16">
        <f>SUM(Analysis_Day2!C9)</f>
        <v>100300</v>
      </c>
    </row>
    <row r="6" spans="2:3" ht="18.5" x14ac:dyDescent="0.45">
      <c r="B6" s="1" t="s">
        <v>45</v>
      </c>
      <c r="C6" s="17">
        <f>Analysis_Day6!C4</f>
        <v>8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79CE-AEFF-4DAD-A9E5-F07FD01205B6}">
  <dimension ref="B1:K18"/>
  <sheetViews>
    <sheetView showGridLines="0" zoomScale="55" zoomScaleNormal="55" workbookViewId="0">
      <selection activeCell="AA20" sqref="AA20"/>
    </sheetView>
  </sheetViews>
  <sheetFormatPr defaultRowHeight="14.5" x14ac:dyDescent="0.35"/>
  <cols>
    <col min="2" max="2" width="13.08984375" bestFit="1" customWidth="1"/>
    <col min="3" max="4" width="14.36328125" bestFit="1" customWidth="1"/>
    <col min="5" max="5" width="18.26953125" bestFit="1" customWidth="1"/>
    <col min="6" max="6" width="17.453125" bestFit="1" customWidth="1"/>
    <col min="9" max="9" width="13.08984375" bestFit="1" customWidth="1"/>
    <col min="10" max="10" width="12.26953125" bestFit="1" customWidth="1"/>
    <col min="11" max="11" width="14.36328125" bestFit="1" customWidth="1"/>
  </cols>
  <sheetData>
    <row r="1" spans="2:11" ht="15" thickBot="1" x14ac:dyDescent="0.4"/>
    <row r="2" spans="2:11" ht="15" thickBot="1" x14ac:dyDescent="0.4">
      <c r="I2" s="18" t="s">
        <v>35</v>
      </c>
      <c r="J2" s="19" t="s">
        <v>38</v>
      </c>
      <c r="K2" s="9" t="s">
        <v>37</v>
      </c>
    </row>
    <row r="3" spans="2:11" ht="15" thickBot="1" x14ac:dyDescent="0.4">
      <c r="B3" s="18" t="s">
        <v>35</v>
      </c>
      <c r="C3" s="9" t="s">
        <v>37</v>
      </c>
      <c r="I3" s="21" t="s">
        <v>12</v>
      </c>
      <c r="J3" s="6">
        <v>2200</v>
      </c>
      <c r="K3" s="1">
        <v>19000</v>
      </c>
    </row>
    <row r="4" spans="2:11" x14ac:dyDescent="0.35">
      <c r="B4" s="21" t="s">
        <v>12</v>
      </c>
      <c r="C4" s="1">
        <v>19000</v>
      </c>
      <c r="I4" s="22" t="s">
        <v>7</v>
      </c>
      <c r="J4" s="7">
        <v>18300</v>
      </c>
      <c r="K4" s="1">
        <v>73000</v>
      </c>
    </row>
    <row r="5" spans="2:11" x14ac:dyDescent="0.35">
      <c r="B5" s="22" t="s">
        <v>10</v>
      </c>
      <c r="C5" s="1">
        <v>35000</v>
      </c>
      <c r="I5" s="22" t="s">
        <v>10</v>
      </c>
      <c r="J5" s="7">
        <v>6200</v>
      </c>
      <c r="K5" s="1">
        <v>35000</v>
      </c>
    </row>
    <row r="6" spans="2:11" ht="15" thickBot="1" x14ac:dyDescent="0.4">
      <c r="B6" s="22" t="s">
        <v>7</v>
      </c>
      <c r="C6" s="1">
        <v>73000</v>
      </c>
      <c r="I6" s="23" t="s">
        <v>36</v>
      </c>
      <c r="J6" s="8">
        <v>26700</v>
      </c>
      <c r="K6" s="3">
        <v>127000</v>
      </c>
    </row>
    <row r="7" spans="2:11" ht="15" thickBot="1" x14ac:dyDescent="0.4">
      <c r="B7" s="23" t="s">
        <v>36</v>
      </c>
      <c r="C7" s="3">
        <v>127000</v>
      </c>
    </row>
    <row r="12" spans="2:11" ht="15" thickBot="1" x14ac:dyDescent="0.4"/>
    <row r="13" spans="2:11" ht="15" thickBot="1" x14ac:dyDescent="0.4">
      <c r="J13" s="18" t="s">
        <v>35</v>
      </c>
      <c r="K13" s="9" t="s">
        <v>37</v>
      </c>
    </row>
    <row r="14" spans="2:11" x14ac:dyDescent="0.35">
      <c r="J14" s="21" t="s">
        <v>25</v>
      </c>
      <c r="K14" s="1">
        <v>42000</v>
      </c>
    </row>
    <row r="15" spans="2:11" x14ac:dyDescent="0.35">
      <c r="J15" s="22" t="s">
        <v>27</v>
      </c>
      <c r="K15" s="1">
        <v>35000</v>
      </c>
    </row>
    <row r="16" spans="2:11" x14ac:dyDescent="0.35">
      <c r="J16" s="22" t="s">
        <v>26</v>
      </c>
      <c r="K16" s="1">
        <v>31000</v>
      </c>
    </row>
    <row r="17" spans="10:11" ht="15" thickBot="1" x14ac:dyDescent="0.4">
      <c r="J17" s="23" t="s">
        <v>28</v>
      </c>
      <c r="K17" s="1">
        <v>19000</v>
      </c>
    </row>
    <row r="18" spans="10:11" ht="15" thickBot="1" x14ac:dyDescent="0.4">
      <c r="J18" s="20" t="s">
        <v>36</v>
      </c>
      <c r="K18" s="3">
        <v>127000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0163-671B-46DB-A51C-453D960BA9E1}">
  <dimension ref="B2:C6"/>
  <sheetViews>
    <sheetView showGridLines="0" workbookViewId="0">
      <selection activeCell="K4" sqref="K4"/>
    </sheetView>
  </sheetViews>
  <sheetFormatPr defaultRowHeight="14.5" x14ac:dyDescent="0.35"/>
  <cols>
    <col min="1" max="1" width="17.7265625" customWidth="1"/>
    <col min="2" max="2" width="18.81640625" bestFit="1" customWidth="1"/>
  </cols>
  <sheetData>
    <row r="2" spans="2:3" ht="71" customHeight="1" x14ac:dyDescent="0.35"/>
    <row r="3" spans="2:3" ht="15" thickBot="1" x14ac:dyDescent="0.4">
      <c r="B3" s="3" t="s">
        <v>42</v>
      </c>
      <c r="C3" s="2" t="s">
        <v>43</v>
      </c>
    </row>
    <row r="4" spans="2:3" x14ac:dyDescent="0.35">
      <c r="B4" s="13" t="s">
        <v>45</v>
      </c>
      <c r="C4">
        <f>COUNT(Raw_Data!B:B)</f>
        <v>8</v>
      </c>
    </row>
    <row r="5" spans="2:3" x14ac:dyDescent="0.35">
      <c r="B5" s="13" t="s">
        <v>44</v>
      </c>
      <c r="C5">
        <f>COUNTIF(Raw_Data!M:M,"Good")</f>
        <v>5</v>
      </c>
    </row>
    <row r="6" spans="2:3" x14ac:dyDescent="0.35">
      <c r="B6" s="13" t="s">
        <v>49</v>
      </c>
      <c r="C6">
        <f>COUNTIF(Raw_Data!M:M,"Needs Improvement")</f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1578-F7A5-4621-9F90-62FFBC0E7BFC}">
  <dimension ref="B1:K14"/>
  <sheetViews>
    <sheetView workbookViewId="0">
      <selection activeCell="G16" sqref="G16"/>
    </sheetView>
  </sheetViews>
  <sheetFormatPr defaultRowHeight="14.5" x14ac:dyDescent="0.35"/>
  <cols>
    <col min="2" max="2" width="25.453125" bestFit="1" customWidth="1"/>
    <col min="8" max="8" width="9.90625" bestFit="1" customWidth="1"/>
    <col min="9" max="9" width="8.26953125" bestFit="1" customWidth="1"/>
    <col min="10" max="10" width="10.26953125" bestFit="1" customWidth="1"/>
  </cols>
  <sheetData>
    <row r="1" spans="2:11" ht="15" thickBot="1" x14ac:dyDescent="0.4"/>
    <row r="2" spans="2:11" ht="15" thickBot="1" x14ac:dyDescent="0.4">
      <c r="B2" t="s">
        <v>15</v>
      </c>
      <c r="C2">
        <f>SUMIF(Raw_Data!D:D,"Google",Raw_Data!E:E)</f>
        <v>18300</v>
      </c>
      <c r="H2" s="10" t="s">
        <v>1</v>
      </c>
      <c r="I2" s="12" t="s">
        <v>2</v>
      </c>
      <c r="J2" s="11" t="s">
        <v>5</v>
      </c>
      <c r="K2" s="5" t="s">
        <v>23</v>
      </c>
    </row>
    <row r="3" spans="2:11" x14ac:dyDescent="0.35">
      <c r="B3" t="s">
        <v>16</v>
      </c>
      <c r="C3">
        <f>SUMIF(Raw_Data!D:D,"Google",Raw_Data!H:H)</f>
        <v>73000</v>
      </c>
      <c r="H3" s="6" t="s">
        <v>7</v>
      </c>
      <c r="I3" s="6">
        <f>C2</f>
        <v>18300</v>
      </c>
      <c r="J3" s="1">
        <f>C3</f>
        <v>73000</v>
      </c>
      <c r="K3" s="1">
        <f>J3-I3</f>
        <v>54700</v>
      </c>
    </row>
    <row r="4" spans="2:11" x14ac:dyDescent="0.35">
      <c r="B4" t="s">
        <v>18</v>
      </c>
      <c r="C4">
        <f>SUMIF(Raw_Data!D:D,"Meta",Raw_Data!E:E)</f>
        <v>6200</v>
      </c>
      <c r="H4" s="7" t="s">
        <v>10</v>
      </c>
      <c r="I4" s="7">
        <f>C4</f>
        <v>6200</v>
      </c>
      <c r="J4" s="1">
        <f>C5</f>
        <v>35000</v>
      </c>
      <c r="K4" s="1">
        <f t="shared" ref="K4:K5" si="0">J4-I4</f>
        <v>28800</v>
      </c>
    </row>
    <row r="5" spans="2:11" ht="15" thickBot="1" x14ac:dyDescent="0.4">
      <c r="B5" t="s">
        <v>17</v>
      </c>
      <c r="C5">
        <f>SUMIF(Raw_Data!D:D,"Meta",Raw_Data!H:H)</f>
        <v>35000</v>
      </c>
      <c r="H5" s="8" t="s">
        <v>12</v>
      </c>
      <c r="I5" s="8">
        <f>SUMIF(Raw_Data!D:D,"Email",Raw_Data!E:E)</f>
        <v>2200</v>
      </c>
      <c r="J5" s="3">
        <f>C6</f>
        <v>19000</v>
      </c>
      <c r="K5" s="3">
        <f t="shared" si="0"/>
        <v>16800</v>
      </c>
    </row>
    <row r="6" spans="2:11" x14ac:dyDescent="0.35">
      <c r="B6" t="s">
        <v>21</v>
      </c>
      <c r="C6">
        <f>SUMIF(Raw_Data!D:D,"Email",Raw_Data!H:H)</f>
        <v>19000</v>
      </c>
    </row>
    <row r="7" spans="2:11" x14ac:dyDescent="0.35">
      <c r="B7" t="s">
        <v>19</v>
      </c>
      <c r="C7">
        <f>COUNTIF(Raw_Data!D:D,"Email")</f>
        <v>2</v>
      </c>
    </row>
    <row r="8" spans="2:11" ht="15" thickBot="1" x14ac:dyDescent="0.4">
      <c r="B8" t="s">
        <v>46</v>
      </c>
      <c r="C8">
        <f>SUM(Raw_Data!E:E)/SUM(Raw_Data!G:G)</f>
        <v>215.32258064516128</v>
      </c>
    </row>
    <row r="9" spans="2:11" ht="15" thickBot="1" x14ac:dyDescent="0.4">
      <c r="B9" t="s">
        <v>20</v>
      </c>
      <c r="C9">
        <f>SUM(Raw_Data!H:H)-SUM(Raw_Data!E:E)</f>
        <v>100300</v>
      </c>
      <c r="H9" s="24" t="s">
        <v>33</v>
      </c>
      <c r="I9" s="25"/>
    </row>
    <row r="10" spans="2:11" ht="15" thickBot="1" x14ac:dyDescent="0.4">
      <c r="B10" t="s">
        <v>22</v>
      </c>
      <c r="C10">
        <f>SUMIF(B:B,"Revenue",C:C)</f>
        <v>0</v>
      </c>
      <c r="H10" s="8" t="s">
        <v>34</v>
      </c>
      <c r="I10" s="8" t="s">
        <v>5</v>
      </c>
    </row>
    <row r="11" spans="2:11" ht="15" thickBot="1" x14ac:dyDescent="0.4">
      <c r="H11" s="6" t="s">
        <v>25</v>
      </c>
      <c r="I11" s="6">
        <f>SUMIF(Raw_Data!J:J,"Rahul",Raw_Data!H:H)</f>
        <v>42000</v>
      </c>
    </row>
    <row r="12" spans="2:11" ht="15" thickBot="1" x14ac:dyDescent="0.4">
      <c r="H12" s="5" t="s">
        <v>26</v>
      </c>
      <c r="I12" s="6">
        <f>SUMIF(Raw_Data!J:J,"Ankit",Raw_Data!H:H)</f>
        <v>31000</v>
      </c>
    </row>
    <row r="13" spans="2:11" ht="15" thickBot="1" x14ac:dyDescent="0.4">
      <c r="H13" s="5" t="s">
        <v>27</v>
      </c>
      <c r="I13" s="6">
        <f>SUMIF(Raw_Data!J:J,"Neha",Raw_Data!H:H)</f>
        <v>35000</v>
      </c>
    </row>
    <row r="14" spans="2:11" ht="15" thickBot="1" x14ac:dyDescent="0.4">
      <c r="H14" s="8" t="s">
        <v>28</v>
      </c>
      <c r="I14" s="5">
        <f>SUMIF(Raw_Data!J:J,"Priya",Raw_Data!H:H)</f>
        <v>19000</v>
      </c>
    </row>
  </sheetData>
  <autoFilter ref="H2:J5" xr:uid="{47441578-F7A5-4621-9F90-62FFBC0E7BFC}"/>
  <mergeCells count="1">
    <mergeCell ref="H9:I9"/>
  </mergeCells>
  <pageMargins left="0.25" right="0.25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0D18D-219F-4FB8-9D01-6768D5F16A39}">
  <dimension ref="B1:N10"/>
  <sheetViews>
    <sheetView showGridLines="0" zoomScale="85" zoomScaleNormal="85" workbookViewId="0">
      <selection activeCell="H19" sqref="H19"/>
    </sheetView>
  </sheetViews>
  <sheetFormatPr defaultRowHeight="14.5" x14ac:dyDescent="0.35"/>
  <cols>
    <col min="2" max="2" width="13.54296875" customWidth="1"/>
    <col min="3" max="3" width="17.453125" bestFit="1" customWidth="1"/>
    <col min="4" max="4" width="13.90625" customWidth="1"/>
    <col min="5" max="5" width="8.81640625" bestFit="1" customWidth="1"/>
    <col min="7" max="7" width="14" bestFit="1" customWidth="1"/>
    <col min="8" max="8" width="10.26953125" bestFit="1" customWidth="1"/>
    <col min="9" max="9" width="14.7265625" bestFit="1" customWidth="1"/>
    <col min="10" max="10" width="19.453125" bestFit="1" customWidth="1"/>
    <col min="11" max="11" width="11.81640625" bestFit="1" customWidth="1"/>
    <col min="12" max="12" width="17.6328125" bestFit="1" customWidth="1"/>
    <col min="13" max="13" width="18.6328125" bestFit="1" customWidth="1"/>
  </cols>
  <sheetData>
    <row r="1" spans="2:14" ht="15" thickBot="1" x14ac:dyDescent="0.4"/>
    <row r="2" spans="2:14" ht="15" thickBot="1" x14ac:dyDescent="0.4">
      <c r="B2" s="34" t="s">
        <v>0</v>
      </c>
      <c r="C2" s="34" t="s">
        <v>13</v>
      </c>
      <c r="D2" s="34" t="s">
        <v>1</v>
      </c>
      <c r="E2" s="34" t="s">
        <v>2</v>
      </c>
      <c r="F2" s="34" t="s">
        <v>3</v>
      </c>
      <c r="G2" s="34" t="s">
        <v>4</v>
      </c>
      <c r="H2" s="34" t="s">
        <v>5</v>
      </c>
      <c r="I2" s="34" t="s">
        <v>14</v>
      </c>
      <c r="J2" s="34" t="s">
        <v>32</v>
      </c>
      <c r="K2" s="34" t="s">
        <v>24</v>
      </c>
      <c r="L2" s="34" t="s">
        <v>39</v>
      </c>
      <c r="M2" s="34" t="s">
        <v>40</v>
      </c>
      <c r="N2" s="35" t="s">
        <v>41</v>
      </c>
    </row>
    <row r="3" spans="2:14" x14ac:dyDescent="0.35">
      <c r="B3" s="28">
        <v>45658</v>
      </c>
      <c r="C3" s="7" t="s">
        <v>6</v>
      </c>
      <c r="D3" s="7" t="s">
        <v>7</v>
      </c>
      <c r="E3" s="7">
        <v>5000</v>
      </c>
      <c r="F3" s="7">
        <v>120</v>
      </c>
      <c r="G3" s="7">
        <v>20</v>
      </c>
      <c r="H3" s="7">
        <v>20000</v>
      </c>
      <c r="I3" s="7">
        <f>E3/F3</f>
        <v>41.666666666666664</v>
      </c>
      <c r="J3" s="7" t="str">
        <f>_xlfn.XLOOKUP(Raw_Data!C3,Campaign_Info!A:A,Campaign_Info!B:B)</f>
        <v>Rahul</v>
      </c>
      <c r="K3" s="7" t="str">
        <f>_xlfn.XLOOKUP(Raw_Data!C3,Campaign_Info!A:A,Campaign_Info!C:C)</f>
        <v>Awareness</v>
      </c>
      <c r="L3" s="32">
        <f>G3/F3</f>
        <v>0.16666666666666666</v>
      </c>
      <c r="M3" s="36" t="str">
        <f>IF(L3&gt;=15%,"Good","Needs improvement")</f>
        <v>Good</v>
      </c>
      <c r="N3" s="26">
        <f>IF(G3=0,0,E3/G3)</f>
        <v>250</v>
      </c>
    </row>
    <row r="4" spans="2:14" x14ac:dyDescent="0.35">
      <c r="B4" s="28">
        <v>45658</v>
      </c>
      <c r="C4" s="30" t="s">
        <v>8</v>
      </c>
      <c r="D4" s="30" t="s">
        <v>7</v>
      </c>
      <c r="E4" s="7">
        <v>4000</v>
      </c>
      <c r="F4" s="7">
        <v>90</v>
      </c>
      <c r="G4" s="7">
        <v>12</v>
      </c>
      <c r="H4" s="7">
        <v>15000</v>
      </c>
      <c r="I4" s="7">
        <f t="shared" ref="I4:I10" si="0">E4/F4</f>
        <v>44.444444444444443</v>
      </c>
      <c r="J4" s="7" t="str">
        <f>_xlfn.XLOOKUP(Raw_Data!C4,Campaign_Info!A:A,Campaign_Info!B:B)</f>
        <v>Ankit</v>
      </c>
      <c r="K4" s="7" t="str">
        <f>_xlfn.XLOOKUP(Raw_Data!C4,Campaign_Info!A:A,Campaign_Info!C:C)</f>
        <v>Conversions</v>
      </c>
      <c r="L4" s="32">
        <f t="shared" ref="L4:L10" si="1">G4/F4</f>
        <v>0.13333333333333333</v>
      </c>
      <c r="M4" s="36" t="str">
        <f t="shared" ref="M4:M10" si="2">IF(L4&gt;=15%,"Good","Needs improvement")</f>
        <v>Needs improvement</v>
      </c>
      <c r="N4" s="26">
        <f t="shared" ref="N4:N10" si="3">IF(G4=0,0,E4/G4)</f>
        <v>333.33333333333331</v>
      </c>
    </row>
    <row r="5" spans="2:14" x14ac:dyDescent="0.35">
      <c r="B5" s="28">
        <v>45658</v>
      </c>
      <c r="C5" s="30" t="s">
        <v>9</v>
      </c>
      <c r="D5" s="30" t="s">
        <v>10</v>
      </c>
      <c r="E5" s="7">
        <v>3000</v>
      </c>
      <c r="F5" s="7">
        <v>110</v>
      </c>
      <c r="G5" s="7">
        <v>18</v>
      </c>
      <c r="H5" s="7">
        <v>18000</v>
      </c>
      <c r="I5" s="7">
        <f t="shared" si="0"/>
        <v>27.272727272727273</v>
      </c>
      <c r="J5" s="7" t="str">
        <f>_xlfn.XLOOKUP(Raw_Data!C5,Campaign_Info!A:A,Campaign_Info!B:B)</f>
        <v>Neha</v>
      </c>
      <c r="K5" s="7" t="str">
        <f>_xlfn.XLOOKUP(Raw_Data!C5,Campaign_Info!A:A,Campaign_Info!C:C)</f>
        <v>Retention</v>
      </c>
      <c r="L5" s="32">
        <f t="shared" si="1"/>
        <v>0.16363636363636364</v>
      </c>
      <c r="M5" s="36" t="str">
        <f t="shared" si="2"/>
        <v>Good</v>
      </c>
      <c r="N5" s="26">
        <f t="shared" si="3"/>
        <v>166.66666666666666</v>
      </c>
    </row>
    <row r="6" spans="2:14" x14ac:dyDescent="0.35">
      <c r="B6" s="28">
        <v>45659</v>
      </c>
      <c r="C6" s="30" t="s">
        <v>6</v>
      </c>
      <c r="D6" s="30" t="s">
        <v>7</v>
      </c>
      <c r="E6" s="7">
        <v>5200</v>
      </c>
      <c r="F6" s="7">
        <v>130</v>
      </c>
      <c r="G6" s="7">
        <v>22</v>
      </c>
      <c r="H6" s="7">
        <v>22000</v>
      </c>
      <c r="I6" s="7">
        <f t="shared" si="0"/>
        <v>40</v>
      </c>
      <c r="J6" s="7" t="str">
        <f>_xlfn.XLOOKUP(Raw_Data!C6,Campaign_Info!A:A,Campaign_Info!B:B)</f>
        <v>Rahul</v>
      </c>
      <c r="K6" s="7" t="str">
        <f>_xlfn.XLOOKUP(Raw_Data!C6,Campaign_Info!A:A,Campaign_Info!C:C)</f>
        <v>Awareness</v>
      </c>
      <c r="L6" s="32">
        <f t="shared" si="1"/>
        <v>0.16923076923076924</v>
      </c>
      <c r="M6" s="36" t="str">
        <f t="shared" si="2"/>
        <v>Good</v>
      </c>
      <c r="N6" s="26">
        <f t="shared" si="3"/>
        <v>236.36363636363637</v>
      </c>
    </row>
    <row r="7" spans="2:14" x14ac:dyDescent="0.35">
      <c r="B7" s="28">
        <v>45659</v>
      </c>
      <c r="C7" s="30" t="s">
        <v>11</v>
      </c>
      <c r="D7" s="30" t="s">
        <v>12</v>
      </c>
      <c r="E7" s="7">
        <v>1000</v>
      </c>
      <c r="F7" s="7">
        <v>60</v>
      </c>
      <c r="G7" s="7">
        <v>10</v>
      </c>
      <c r="H7" s="7">
        <v>9000</v>
      </c>
      <c r="I7" s="7">
        <f t="shared" si="0"/>
        <v>16.666666666666668</v>
      </c>
      <c r="J7" s="7" t="str">
        <f>_xlfn.XLOOKUP(Raw_Data!C7,Campaign_Info!A:A,Campaign_Info!B:B)</f>
        <v>Priya</v>
      </c>
      <c r="K7" s="7" t="str">
        <f>_xlfn.XLOOKUP(Raw_Data!C7,Campaign_Info!A:A,Campaign_Info!C:C)</f>
        <v>Engagement</v>
      </c>
      <c r="L7" s="32">
        <f t="shared" si="1"/>
        <v>0.16666666666666666</v>
      </c>
      <c r="M7" s="36" t="str">
        <f t="shared" si="2"/>
        <v>Good</v>
      </c>
      <c r="N7" s="26">
        <f t="shared" si="3"/>
        <v>100</v>
      </c>
    </row>
    <row r="8" spans="2:14" x14ac:dyDescent="0.35">
      <c r="B8" s="28">
        <v>45659</v>
      </c>
      <c r="C8" s="30" t="s">
        <v>9</v>
      </c>
      <c r="D8" s="30" t="s">
        <v>10</v>
      </c>
      <c r="E8" s="7">
        <v>3200</v>
      </c>
      <c r="F8" s="7">
        <v>115</v>
      </c>
      <c r="G8" s="7">
        <v>17</v>
      </c>
      <c r="H8" s="7">
        <v>17000</v>
      </c>
      <c r="I8" s="7">
        <f t="shared" si="0"/>
        <v>27.826086956521738</v>
      </c>
      <c r="J8" s="7" t="str">
        <f>_xlfn.XLOOKUP(Raw_Data!C8,Campaign_Info!A:A,Campaign_Info!B:B)</f>
        <v>Neha</v>
      </c>
      <c r="K8" s="7" t="str">
        <f>_xlfn.XLOOKUP(Raw_Data!C8,Campaign_Info!A:A,Campaign_Info!C:C)</f>
        <v>Retention</v>
      </c>
      <c r="L8" s="32">
        <f t="shared" si="1"/>
        <v>0.14782608695652175</v>
      </c>
      <c r="M8" s="36" t="str">
        <f t="shared" si="2"/>
        <v>Needs improvement</v>
      </c>
      <c r="N8" s="26">
        <f t="shared" si="3"/>
        <v>188.23529411764707</v>
      </c>
    </row>
    <row r="9" spans="2:14" x14ac:dyDescent="0.35">
      <c r="B9" s="28">
        <v>45660</v>
      </c>
      <c r="C9" s="30" t="s">
        <v>8</v>
      </c>
      <c r="D9" s="30" t="s">
        <v>7</v>
      </c>
      <c r="E9" s="7">
        <v>4100</v>
      </c>
      <c r="F9" s="7">
        <v>95</v>
      </c>
      <c r="G9" s="7">
        <v>14</v>
      </c>
      <c r="H9" s="7">
        <v>16000</v>
      </c>
      <c r="I9" s="7">
        <f t="shared" si="0"/>
        <v>43.157894736842103</v>
      </c>
      <c r="J9" s="7" t="str">
        <f>_xlfn.XLOOKUP(Raw_Data!C9,Campaign_Info!A:A,Campaign_Info!B:B)</f>
        <v>Ankit</v>
      </c>
      <c r="K9" s="7" t="str">
        <f>_xlfn.XLOOKUP(Raw_Data!C9,Campaign_Info!A:A,Campaign_Info!C:C)</f>
        <v>Conversions</v>
      </c>
      <c r="L9" s="32">
        <f t="shared" si="1"/>
        <v>0.14736842105263157</v>
      </c>
      <c r="M9" s="36" t="str">
        <f t="shared" si="2"/>
        <v>Needs improvement</v>
      </c>
      <c r="N9" s="26">
        <f t="shared" si="3"/>
        <v>292.85714285714283</v>
      </c>
    </row>
    <row r="10" spans="2:14" ht="15" thickBot="1" x14ac:dyDescent="0.4">
      <c r="B10" s="29">
        <v>45660</v>
      </c>
      <c r="C10" s="31" t="s">
        <v>11</v>
      </c>
      <c r="D10" s="31" t="s">
        <v>12</v>
      </c>
      <c r="E10" s="8">
        <v>1200</v>
      </c>
      <c r="F10" s="8">
        <v>65</v>
      </c>
      <c r="G10" s="8">
        <v>11</v>
      </c>
      <c r="H10" s="8">
        <v>10000</v>
      </c>
      <c r="I10" s="8">
        <f t="shared" si="0"/>
        <v>18.46153846153846</v>
      </c>
      <c r="J10" s="8" t="str">
        <f>_xlfn.XLOOKUP(Raw_Data!C10,Campaign_Info!A:A,Campaign_Info!B:B)</f>
        <v>Priya</v>
      </c>
      <c r="K10" s="8" t="str">
        <f>_xlfn.XLOOKUP(Raw_Data!C10,Campaign_Info!A:A,Campaign_Info!C:C)</f>
        <v>Engagement</v>
      </c>
      <c r="L10" s="33">
        <f t="shared" si="1"/>
        <v>0.16923076923076924</v>
      </c>
      <c r="M10" s="37" t="str">
        <f t="shared" si="2"/>
        <v>Good</v>
      </c>
      <c r="N10" s="27">
        <f t="shared" si="3"/>
        <v>109.09090909090909</v>
      </c>
    </row>
  </sheetData>
  <autoFilter ref="B2:M11" xr:uid="{C900D18D-219F-4FB8-9D01-6768D5F16A39}"/>
  <conditionalFormatting sqref="M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ntainsText" dxfId="1" priority="1" operator="containsText" text="Needs improvement">
      <formula>NOT(ISERROR(SEARCH("Needs improvement",M1)))</formula>
    </cfRule>
    <cfRule type="containsText" dxfId="0" priority="2" operator="containsText" text="Good">
      <formula>NOT(ISERROR(SEARCH("Good",M1)))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D444-0A9E-485F-98DC-1CC7C9DDAAB7}">
  <dimension ref="A1:C5"/>
  <sheetViews>
    <sheetView workbookViewId="0">
      <selection activeCell="F14" sqref="F14"/>
    </sheetView>
  </sheetViews>
  <sheetFormatPr defaultRowHeight="14.5" x14ac:dyDescent="0.35"/>
  <cols>
    <col min="1" max="1" width="14.54296875" bestFit="1" customWidth="1"/>
    <col min="2" max="2" width="17.1796875" bestFit="1" customWidth="1"/>
    <col min="3" max="3" width="11.08984375" bestFit="1" customWidth="1"/>
  </cols>
  <sheetData>
    <row r="1" spans="1:3" x14ac:dyDescent="0.35">
      <c r="A1" s="4" t="s">
        <v>13</v>
      </c>
      <c r="B1" t="s">
        <v>32</v>
      </c>
      <c r="C1" t="s">
        <v>24</v>
      </c>
    </row>
    <row r="2" spans="1:3" x14ac:dyDescent="0.35">
      <c r="A2" t="s">
        <v>6</v>
      </c>
      <c r="B2" t="s">
        <v>25</v>
      </c>
      <c r="C2" t="s">
        <v>30</v>
      </c>
    </row>
    <row r="3" spans="1:3" x14ac:dyDescent="0.35">
      <c r="A3" t="s">
        <v>8</v>
      </c>
      <c r="B3" t="s">
        <v>26</v>
      </c>
      <c r="C3" t="s">
        <v>4</v>
      </c>
    </row>
    <row r="4" spans="1:3" x14ac:dyDescent="0.35">
      <c r="A4" t="s">
        <v>9</v>
      </c>
      <c r="B4" t="s">
        <v>27</v>
      </c>
      <c r="C4" t="s">
        <v>31</v>
      </c>
    </row>
    <row r="5" spans="1:3" x14ac:dyDescent="0.35">
      <c r="A5" t="s">
        <v>11</v>
      </c>
      <c r="B5" t="s">
        <v>28</v>
      </c>
      <c r="C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Final_Dashboard</vt:lpstr>
      <vt:lpstr>Pivot_Day4</vt:lpstr>
      <vt:lpstr>Analysis_Day6</vt:lpstr>
      <vt:lpstr>Analysis_Day2</vt:lpstr>
      <vt:lpstr>Raw_Data</vt:lpstr>
      <vt:lpstr>Campaign_Info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Irbaz</dc:creator>
  <cp:lastModifiedBy>Irbaz</cp:lastModifiedBy>
  <dcterms:created xsi:type="dcterms:W3CDTF">2026-02-02T09:48:47Z</dcterms:created>
  <dcterms:modified xsi:type="dcterms:W3CDTF">2026-02-04T09:29:38Z</dcterms:modified>
</cp:coreProperties>
</file>